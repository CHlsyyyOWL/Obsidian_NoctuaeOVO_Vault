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liujiatong/Library/Mobile Documents/iCloud~md~obsidian/Documents/NoctuaeOvO/"/>
    </mc:Choice>
  </mc:AlternateContent>
  <xr:revisionPtr revIDLastSave="0" documentId="13_ncr:1_{DBB5EB90-C6EC-BB4F-9692-7198233D1FE9}" xr6:coauthVersionLast="47" xr6:coauthVersionMax="47" xr10:uidLastSave="{00000000-0000-0000-0000-000000000000}"/>
  <bookViews>
    <workbookView xWindow="1180" yWindow="1500" windowWidth="27240" windowHeight="15020" xr2:uid="{337C045D-FF32-A94A-9CF8-380DA564B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3" i="1"/>
  <c r="F3" i="1"/>
  <c r="J3" i="1" s="1"/>
  <c r="N3" i="1" s="1"/>
  <c r="N5" i="1"/>
  <c r="K4" i="1"/>
  <c r="L4" i="1"/>
  <c r="M4" i="1"/>
  <c r="K5" i="1"/>
  <c r="L5" i="1"/>
  <c r="M5" i="1"/>
  <c r="L3" i="1"/>
  <c r="M3" i="1"/>
  <c r="K3" i="1"/>
  <c r="J5" i="1"/>
  <c r="I3" i="1"/>
  <c r="I4" i="1"/>
  <c r="I5" i="1"/>
  <c r="I2" i="1"/>
  <c r="H3" i="1"/>
  <c r="H4" i="1"/>
  <c r="H5" i="1"/>
  <c r="H2" i="1"/>
  <c r="G5" i="1"/>
  <c r="G4" i="1"/>
  <c r="G3" i="1"/>
  <c r="G2" i="1"/>
  <c r="F5" i="1"/>
  <c r="F4" i="1"/>
  <c r="F2" i="1"/>
  <c r="J4" i="1" l="1"/>
  <c r="N4" i="1" s="1"/>
</calcChain>
</file>

<file path=xl/sharedStrings.xml><?xml version="1.0" encoding="utf-8"?>
<sst xmlns="http://schemas.openxmlformats.org/spreadsheetml/2006/main" count="15" uniqueCount="15">
  <si>
    <t>year</t>
  </si>
  <si>
    <t>p1</t>
  </si>
  <si>
    <t>q1</t>
  </si>
  <si>
    <t>p2</t>
  </si>
  <si>
    <t>q2</t>
  </si>
  <si>
    <t>Base 2016</t>
    <phoneticPr fontId="2" type="noConversion"/>
  </si>
  <si>
    <t>Base 2017</t>
    <phoneticPr fontId="2" type="noConversion"/>
  </si>
  <si>
    <t>Base 2018</t>
    <phoneticPr fontId="2" type="noConversion"/>
  </si>
  <si>
    <t>Base 2019</t>
    <phoneticPr fontId="2" type="noConversion"/>
  </si>
  <si>
    <t>Average</t>
    <phoneticPr fontId="2" type="noConversion"/>
  </si>
  <si>
    <t xml:space="preserve"> GrRt Base=16</t>
    <phoneticPr fontId="2" type="noConversion"/>
  </si>
  <si>
    <t xml:space="preserve"> GrRt Base=17</t>
    <phoneticPr fontId="2" type="noConversion"/>
  </si>
  <si>
    <t xml:space="preserve"> GrRt Base=18</t>
  </si>
  <si>
    <t xml:space="preserve"> GrRt Base=19</t>
  </si>
  <si>
    <t xml:space="preserve"> Chained GDP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</si>
</sst>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2559-E10E-2B4D-8C8B-B8EC952BFD28}">
  <dimension ref="A1:O5"/>
  <sheetViews>
    <sheetView tabSelected="1" workbookViewId="0">
      <selection activeCell="P4" sqref="P4"/>
    </sheetView>
  </sheetViews>
  <sheetFormatPr baseColWidth="10" defaultRowHeight="16"/>
  <cols>
    <col min="10" max="10" width="15.83203125" customWidth="1"/>
    <col min="11" max="11" width="15.6640625" customWidth="1"/>
    <col min="12" max="12" width="15.83203125" customWidth="1"/>
    <col min="13" max="13" width="17.1640625" customWidth="1"/>
    <col min="15" max="15" width="15.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9</v>
      </c>
      <c r="O1" s="1" t="s">
        <v>14</v>
      </c>
    </row>
    <row r="2" spans="1:15">
      <c r="A2">
        <v>2016</v>
      </c>
      <c r="B2">
        <v>5</v>
      </c>
      <c r="C2">
        <v>200</v>
      </c>
      <c r="D2">
        <v>100</v>
      </c>
      <c r="E2">
        <v>2</v>
      </c>
      <c r="F2">
        <f>B2*C2+D2*E2</f>
        <v>1200</v>
      </c>
      <c r="G2">
        <f>B3*C2+D3*E2</f>
        <v>1004</v>
      </c>
      <c r="H2">
        <f>10*C2+108*E2</f>
        <v>2216</v>
      </c>
      <c r="I2">
        <f>7*C2+98*E2</f>
        <v>1596</v>
      </c>
      <c r="J2">
        <v>1</v>
      </c>
      <c r="K2">
        <v>1</v>
      </c>
      <c r="L2">
        <v>1</v>
      </c>
      <c r="M2">
        <v>1</v>
      </c>
      <c r="N2">
        <v>1</v>
      </c>
      <c r="O2">
        <v>1200</v>
      </c>
    </row>
    <row r="3" spans="1:15">
      <c r="A3">
        <v>2017</v>
      </c>
      <c r="B3">
        <v>4</v>
      </c>
      <c r="C3">
        <v>210</v>
      </c>
      <c r="D3">
        <v>102</v>
      </c>
      <c r="E3">
        <v>4</v>
      </c>
      <c r="F3">
        <f>B2*C3+D2*E3</f>
        <v>1450</v>
      </c>
      <c r="G3">
        <f>B3*C3+D3*E3</f>
        <v>1248</v>
      </c>
      <c r="H3">
        <f t="shared" ref="H3:H5" si="0">10*C3+108*E3</f>
        <v>2532</v>
      </c>
      <c r="I3">
        <f t="shared" ref="I3:I5" si="1">7*C3+98*E3</f>
        <v>1862</v>
      </c>
      <c r="J3">
        <f>(F3-F2)/F2</f>
        <v>0.20833333333333334</v>
      </c>
      <c r="K3">
        <f>(G3-G2)/G2</f>
        <v>0.24302788844621515</v>
      </c>
      <c r="L3">
        <f t="shared" ref="L3:M3" si="2">(H3-H2)/H2</f>
        <v>0.14259927797833935</v>
      </c>
      <c r="M3">
        <f t="shared" si="2"/>
        <v>0.16666666666666666</v>
      </c>
      <c r="N3">
        <f>AVERAGE(J3:M3)</f>
        <v>0.19015679160613863</v>
      </c>
      <c r="O3">
        <f>(1+N3)*1200</f>
        <v>1428.1881499273663</v>
      </c>
    </row>
    <row r="4" spans="1:15">
      <c r="A4">
        <v>2018</v>
      </c>
      <c r="B4">
        <v>10</v>
      </c>
      <c r="C4">
        <v>214</v>
      </c>
      <c r="D4">
        <v>108</v>
      </c>
      <c r="E4">
        <v>8</v>
      </c>
      <c r="F4">
        <f>B2*C4+D2*E4</f>
        <v>1870</v>
      </c>
      <c r="G4">
        <f>B3*C4+D3*E4</f>
        <v>1672</v>
      </c>
      <c r="H4">
        <f t="shared" si="0"/>
        <v>3004</v>
      </c>
      <c r="I4">
        <f t="shared" si="1"/>
        <v>2282</v>
      </c>
      <c r="J4">
        <f t="shared" ref="J4:J5" si="3">(F4-F3)/F3</f>
        <v>0.28965517241379313</v>
      </c>
      <c r="K4">
        <f t="shared" ref="K4:K5" si="4">(G4-G3)/G3</f>
        <v>0.33974358974358976</v>
      </c>
      <c r="L4">
        <f t="shared" ref="L4:L5" si="5">(H4-H3)/H3</f>
        <v>0.18641390205371247</v>
      </c>
      <c r="M4">
        <f t="shared" ref="M4:M5" si="6">(I4-I3)/I3</f>
        <v>0.22556390977443608</v>
      </c>
      <c r="N4">
        <f t="shared" ref="N4:N5" si="7">AVERAGE(J4:M4)</f>
        <v>0.26034414349638285</v>
      </c>
      <c r="O4">
        <f t="shared" ref="O4:O5" si="8">(1+N4)*1200</f>
        <v>1512.4129721956594</v>
      </c>
    </row>
    <row r="5" spans="1:15">
      <c r="A5">
        <v>2019</v>
      </c>
      <c r="B5">
        <v>7</v>
      </c>
      <c r="C5">
        <v>198</v>
      </c>
      <c r="D5">
        <v>98</v>
      </c>
      <c r="E5">
        <v>7</v>
      </c>
      <c r="F5">
        <f>B2*C5+D2*E5</f>
        <v>1690</v>
      </c>
      <c r="G5">
        <f>B3*C5+B3*E5</f>
        <v>820</v>
      </c>
      <c r="H5">
        <f t="shared" si="0"/>
        <v>2736</v>
      </c>
      <c r="I5">
        <f t="shared" si="1"/>
        <v>2072</v>
      </c>
      <c r="J5">
        <f t="shared" si="3"/>
        <v>-9.6256684491978606E-2</v>
      </c>
      <c r="K5">
        <f t="shared" si="4"/>
        <v>-0.50956937799043067</v>
      </c>
      <c r="L5">
        <f t="shared" si="5"/>
        <v>-8.9214380825565917E-2</v>
      </c>
      <c r="M5">
        <f t="shared" si="6"/>
        <v>-9.202453987730061E-2</v>
      </c>
      <c r="N5">
        <f t="shared" si="7"/>
        <v>-0.19676624579631893</v>
      </c>
      <c r="O5">
        <f t="shared" si="8"/>
        <v>963.88050504441719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Tada</dc:creator>
  <cp:lastModifiedBy>刘家彤chelseaaa</cp:lastModifiedBy>
  <dcterms:created xsi:type="dcterms:W3CDTF">2025-09-01T17:00:28Z</dcterms:created>
  <dcterms:modified xsi:type="dcterms:W3CDTF">2025-09-03T09:33:32Z</dcterms:modified>
</cp:coreProperties>
</file>